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rchit\Desktop\Self Learning\VBA\"/>
    </mc:Choice>
  </mc:AlternateContent>
  <bookViews>
    <workbookView xWindow="0" yWindow="0" windowWidth="20490" windowHeight="7545" firstSheet="2" activeTab="3"/>
  </bookViews>
  <sheets>
    <sheet name="S1" sheetId="1" r:id="rId1"/>
    <sheet name="ElseIf" sheetId="2" r:id="rId2"/>
    <sheet name="SelectCase" sheetId="3" r:id="rId3"/>
    <sheet name="loops" sheetId="4" r:id="rId4"/>
    <sheet name="ForNextloops" sheetId="6" r:id="rId5"/>
    <sheet name="S5" sheetId="5" r:id="rId6"/>
    <sheet name="ForEachLoop" sheetId="7" r:id="rId7"/>
    <sheet name="Array" sheetId="8" r:id="rId8"/>
    <sheet name="Pivot" sheetId="9" r:id="rId9"/>
    <sheet name="UserForm" sheetId="10" r:id="rId10"/>
    <sheet name="database" sheetId="11" r:id="rId11"/>
  </sheets>
  <functionGroups builtInGroupCount="18"/>
  <definedNames>
    <definedName name="Data">OFFSET(Pivot!$A$1,0,0,COUNTA(Pivot!$A:$A),COUNTA(Pivot!$1:$1))</definedName>
    <definedName name="LastRow">OFFSET(UserForm!$A$1,COUNTA(UserForm!$A:$A),0)</definedName>
  </definedNames>
  <calcPr calcId="171027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C1" i="4"/>
  <c r="D1" i="4"/>
  <c r="E1" i="4"/>
  <c r="F1" i="4"/>
  <c r="B2" i="4"/>
  <c r="C2" i="4"/>
  <c r="D2" i="4"/>
  <c r="E2" i="4"/>
  <c r="F2" i="4"/>
  <c r="B3" i="4"/>
  <c r="C3" i="4"/>
  <c r="D3" i="4"/>
  <c r="E3" i="4"/>
  <c r="F3" i="4"/>
  <c r="B4" i="4"/>
  <c r="C4" i="4"/>
  <c r="D4" i="4"/>
  <c r="E4" i="4"/>
  <c r="F4" i="4"/>
  <c r="A2" i="4"/>
  <c r="A3" i="4"/>
  <c r="A4" i="4"/>
  <c r="A1" i="4"/>
  <c r="D3" i="2"/>
  <c r="B1" i="8"/>
  <c r="F3" i="2"/>
  <c r="B2" i="5" l="1"/>
  <c r="B2" i="1"/>
  <c r="C4" i="2"/>
  <c r="D7" i="3"/>
  <c r="E7" i="2"/>
  <c r="E5" i="3"/>
  <c r="C6" i="3"/>
  <c r="E3" i="2"/>
  <c r="F5" i="2"/>
  <c r="G3" i="2"/>
  <c r="E7" i="3"/>
  <c r="C5" i="2"/>
  <c r="E5" i="2"/>
  <c r="E8" i="3"/>
  <c r="D7" i="2"/>
  <c r="C7" i="3"/>
  <c r="D6" i="2"/>
  <c r="C5" i="3"/>
  <c r="F7" i="2"/>
  <c r="E6" i="3"/>
  <c r="C8" i="3"/>
  <c r="D6" i="3"/>
  <c r="C3" i="2"/>
  <c r="F6" i="2"/>
  <c r="G5" i="2"/>
  <c r="G6" i="2"/>
  <c r="D8" i="3"/>
  <c r="C4" i="3"/>
  <c r="E4" i="2"/>
  <c r="C6" i="2"/>
  <c r="D4" i="2"/>
  <c r="G7" i="2"/>
  <c r="D4" i="3"/>
  <c r="D5" i="2"/>
  <c r="C7" i="2"/>
  <c r="E6" i="2"/>
  <c r="D5" i="3"/>
  <c r="E4" i="3"/>
  <c r="G4" i="2"/>
  <c r="F4" i="2"/>
</calcChain>
</file>

<file path=xl/sharedStrings.xml><?xml version="1.0" encoding="utf-8"?>
<sst xmlns="http://schemas.openxmlformats.org/spreadsheetml/2006/main" count="165" uniqueCount="117">
  <si>
    <t>Date</t>
  </si>
  <si>
    <t>Amount</t>
  </si>
  <si>
    <t>Salary</t>
  </si>
  <si>
    <t>GetTaxRate()</t>
  </si>
  <si>
    <t>GetTaxRateElse()</t>
  </si>
  <si>
    <t>GetTaxRateElseAnd()</t>
  </si>
  <si>
    <t>Yes</t>
  </si>
  <si>
    <t>No</t>
  </si>
  <si>
    <t>GetTaxRateElseIf()</t>
  </si>
  <si>
    <t>GetTaxRateNestedIf()</t>
  </si>
  <si>
    <t>HasKids</t>
  </si>
  <si>
    <t>GetTaxRateSelectCase()</t>
  </si>
  <si>
    <t>GetTaxRateElseSelectCaseTo()</t>
  </si>
  <si>
    <t>GetTaxRateElseSelectCaseNested()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</si>
  <si>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</si>
  <si>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</si>
  <si>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</si>
  <si>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</si>
  <si>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</si>
  <si>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</si>
  <si>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</si>
  <si>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</si>
  <si>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</si>
  <si>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</si>
  <si>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</si>
  <si>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</si>
  <si>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</si>
  <si>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Country</t>
  </si>
  <si>
    <t>Symbol</t>
  </si>
  <si>
    <t>Exchange Rate</t>
  </si>
  <si>
    <t>Canada</t>
  </si>
  <si>
    <t>EuroZone</t>
  </si>
  <si>
    <t>Japan</t>
  </si>
  <si>
    <t>Mexico</t>
  </si>
  <si>
    <t>CAD</t>
  </si>
  <si>
    <t>EUR</t>
  </si>
  <si>
    <t>JPY</t>
  </si>
  <si>
    <t>MXN</t>
  </si>
  <si>
    <t>City</t>
  </si>
  <si>
    <t>State</t>
  </si>
  <si>
    <t>New York</t>
  </si>
  <si>
    <t>NY</t>
  </si>
  <si>
    <t>Los Angeles</t>
  </si>
  <si>
    <t>CA</t>
  </si>
  <si>
    <t>IL</t>
  </si>
  <si>
    <t>TX</t>
  </si>
  <si>
    <t>PA</t>
  </si>
  <si>
    <t>AZ</t>
  </si>
  <si>
    <t>FL</t>
  </si>
  <si>
    <t>IN</t>
  </si>
  <si>
    <t>Chichago</t>
  </si>
  <si>
    <t>Houston</t>
  </si>
  <si>
    <t>Philadelphia</t>
  </si>
  <si>
    <t>Phoneix</t>
  </si>
  <si>
    <t>San Antonio</t>
  </si>
  <si>
    <t>San Diego</t>
  </si>
  <si>
    <t>Dallas</t>
  </si>
  <si>
    <t>San Jose</t>
  </si>
  <si>
    <t>Jacksonville</t>
  </si>
  <si>
    <t>Indianapolis</t>
  </si>
  <si>
    <t>Austin</t>
  </si>
  <si>
    <t>San Francisco</t>
  </si>
  <si>
    <t>Columbus</t>
  </si>
  <si>
    <t>OH</t>
  </si>
  <si>
    <t>Name</t>
  </si>
  <si>
    <t>Product</t>
  </si>
  <si>
    <t>Price</t>
  </si>
  <si>
    <t>Bob</t>
  </si>
  <si>
    <t>Ed</t>
  </si>
  <si>
    <t>Dan</t>
  </si>
  <si>
    <t>George</t>
  </si>
  <si>
    <t>Mary</t>
  </si>
  <si>
    <t>Ann</t>
  </si>
  <si>
    <t>Mark</t>
  </si>
  <si>
    <t>Basketball</t>
  </si>
  <si>
    <t>Football</t>
  </si>
  <si>
    <t>Baseball</t>
  </si>
  <si>
    <t>Tennisball</t>
  </si>
  <si>
    <t>Shirt</t>
  </si>
  <si>
    <t>Glasses</t>
  </si>
  <si>
    <t>Gum</t>
  </si>
  <si>
    <t>Pants</t>
  </si>
  <si>
    <t>Tom</t>
  </si>
  <si>
    <t>ball</t>
  </si>
  <si>
    <t>Joe</t>
  </si>
  <si>
    <t>Tee Shirt</t>
  </si>
  <si>
    <t>Grand Total</t>
  </si>
  <si>
    <t>Sum of Price</t>
  </si>
  <si>
    <t>1/1/2013 Total</t>
  </si>
  <si>
    <t>1/4/2013 Total</t>
  </si>
  <si>
    <t>Values</t>
  </si>
  <si>
    <t>Sum of Commission</t>
  </si>
  <si>
    <t>(Multiple Items)</t>
  </si>
  <si>
    <t>Sam</t>
  </si>
  <si>
    <t>joe</t>
  </si>
  <si>
    <t>Gym</t>
  </si>
  <si>
    <t>I feel good</t>
  </si>
  <si>
    <t>sss</t>
  </si>
  <si>
    <t>I fee veryl bad</t>
  </si>
  <si>
    <t>I fee very bad</t>
  </si>
  <si>
    <t>mARY</t>
  </si>
  <si>
    <t>I feel bad</t>
  </si>
  <si>
    <t>Married</t>
  </si>
  <si>
    <t>james</t>
  </si>
  <si>
    <t>sadadad</t>
  </si>
  <si>
    <t>Single</t>
  </si>
  <si>
    <t>sad</t>
  </si>
  <si>
    <t>bbg</t>
  </si>
  <si>
    <t>ss</t>
  </si>
  <si>
    <t>fad</t>
  </si>
  <si>
    <t>sas</t>
  </si>
  <si>
    <t>Selectsss</t>
  </si>
  <si>
    <t xml:space="preserve">M         </t>
  </si>
  <si>
    <t xml:space="preserve">F         </t>
  </si>
  <si>
    <t xml:space="preserve">Unknown   </t>
  </si>
  <si>
    <t>Id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</si>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</sst>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2" borderId="0" xfId="0" applyFill="1"/>
    <xf numFmtId="0" fontId="0" fillId="0" borderId="0" xfId="0" applyFill="1"/>
    <xf numFmtId="0" fontId="1" fillId="0" borderId="0" xfId="0" applyFont="1"/>
    <xf numFmtId="0" fontId="1" fillId="2" borderId="0" xfId="0" applyFont="1" applyFill="1"/>
    <xf numFmtId="0" fontId="1" fillId="0" borderId="0" xfId="0" applyFont="1" applyFill="1"/>
    <xf numFmtId="1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pivotButton="1"/>
    <xf numFmtId="4" fontId="0" fillId="0" borderId="0" xfId="0" applyNumberFormat="1"/>
  </cellXfs>
  <cellStyles count="1">
    <cellStyle name="Normal" xfId="0" builtinId="0"/>
  </cellStyles>
  <dxfs count="1"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2</xdr:row>
          <xdr:rowOff>161925</xdr:rowOff>
        </xdr:from>
        <xdr:to>
          <xdr:col>10</xdr:col>
          <xdr:colOff>171450</xdr:colOff>
          <xdr:row>6</xdr:row>
          <xdr:rowOff>123825</xdr:rowOff>
        </xdr:to>
        <xdr:sp macro="" textlink="">
          <xdr:nvSpPr>
            <xdr:cNvPr id="10241" name="btn_EnterData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chit" refreshedDate="43219.69884837963" createdVersion="3" refreshedVersion="6" minRefreshableVersion="3" recordCount="10">
  <cacheSource type="worksheet">
    <worksheetSource ref="A1:D11" sheet="Pivot"/>
  </cacheSource>
  <cacheFields count="5">
    <cacheField name="Date" numFmtId="14">
      <sharedItems containsSemiMixedTypes="0" containsNonDate="0" containsDate="1" containsString="0" minDate="2013-01-01T00:00:00" maxDate="2013-01-06T00:00:00" count="5">
        <d v="2013-01-01T00:00:00"/>
        <d v="2013-01-02T00:00:00"/>
        <d v="2013-01-03T00:00:00"/>
        <d v="2013-01-04T00:00:00"/>
        <d v="2013-01-05T00:00:00"/>
      </sharedItems>
    </cacheField>
    <cacheField name="Name" numFmtId="0">
      <sharedItems count="9">
        <s v="Bob"/>
        <s v="Ed"/>
        <s v="Dan"/>
        <s v="George"/>
        <s v="Mary"/>
        <s v="Ann"/>
        <s v="Mark"/>
        <s v="Joe"/>
        <s v="Tom"/>
      </sharedItems>
    </cacheField>
    <cacheField name="Product" numFmtId="0">
      <sharedItems count="10">
        <s v="Basketball"/>
        <s v="Football"/>
        <s v="Baseball"/>
        <s v="Tennisball"/>
        <s v="Shirt"/>
        <s v="Glasses"/>
        <s v="Gum"/>
        <s v="Pants"/>
        <s v="Tee Shirt"/>
        <s v="ball"/>
      </sharedItems>
    </cacheField>
    <cacheField name="Price" numFmtId="0">
      <sharedItems containsSemiMixedTypes="0" containsString="0" containsNumber="1" containsInteger="1" minValue="1" maxValue="50"/>
    </cacheField>
    <cacheField name="Commission" numFmtId="0" formula="Price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20"/>
  </r>
  <r>
    <x v="0"/>
    <x v="0"/>
    <x v="1"/>
    <n v="15"/>
  </r>
  <r>
    <x v="0"/>
    <x v="1"/>
    <x v="2"/>
    <n v="5"/>
  </r>
  <r>
    <x v="0"/>
    <x v="2"/>
    <x v="3"/>
    <n v="1"/>
  </r>
  <r>
    <x v="1"/>
    <x v="3"/>
    <x v="4"/>
    <n v="11"/>
  </r>
  <r>
    <x v="2"/>
    <x v="4"/>
    <x v="5"/>
    <n v="13"/>
  </r>
  <r>
    <x v="3"/>
    <x v="5"/>
    <x v="6"/>
    <n v="16"/>
  </r>
  <r>
    <x v="4"/>
    <x v="6"/>
    <x v="7"/>
    <n v="14"/>
  </r>
  <r>
    <x v="4"/>
    <x v="7"/>
    <x v="8"/>
    <n v="43"/>
  </r>
  <r>
    <x v="4"/>
    <x v="8"/>
    <x v="9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T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>
  <location ref="K3:N10" firstHeaderRow="1" firstDataRow="2" firstDataCol="2" rowPageCount="1" colPageCount="1"/>
  <pivotFields count="5">
    <pivotField axis="axisRow" compact="0" numFmtId="14" outline="0" showAll="0">
      <items count="6">
        <item x="0"/>
        <item x="1"/>
        <item x="2"/>
        <item x="3"/>
        <item x="4"/>
        <item t="default"/>
      </items>
    </pivotField>
    <pivotField axis="axisPage" compact="0" outline="0" showAll="0">
      <items count="10">
        <item x="5"/>
        <item x="0"/>
        <item h="1" x="2"/>
        <item h="1" x="1"/>
        <item h="1" x="3"/>
        <item h="1" x="7"/>
        <item h="1" x="6"/>
        <item h="1" x="4"/>
        <item h="1" x="8"/>
        <item t="default"/>
      </items>
    </pivotField>
    <pivotField axis="axisRow" compact="0" outline="0" showAll="0">
      <items count="11">
        <item x="9"/>
        <item x="2"/>
        <item x="0"/>
        <item x="1"/>
        <item x="5"/>
        <item x="6"/>
        <item x="7"/>
        <item x="4"/>
        <item x="8"/>
        <item x="3"/>
        <item t="default"/>
      </items>
    </pivotField>
    <pivotField dataField="1" compact="0" outline="0" showAll="0"/>
    <pivotField dataField="1" compact="0" outline="0" dragToRow="0" dragToCol="0" dragToPage="0" showAll="0" defaultSubtotal="0"/>
  </pivotFields>
  <rowFields count="2">
    <field x="0"/>
    <field x="2"/>
  </rowFields>
  <rowItems count="6">
    <i>
      <x/>
      <x v="2"/>
    </i>
    <i r="1">
      <x v="3"/>
    </i>
    <i t="default">
      <x/>
    </i>
    <i>
      <x v="3"/>
      <x v="5"/>
    </i>
    <i t="default"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Price" fld="3" baseField="0" baseItem="0" numFmtId="4"/>
    <dataField name="Sum of Commission" fld="4" baseField="0" baseItem="0" numFmtId="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9"/>
  <sheetViews>
    <sheetView workbookViewId="0">
      <selection activeCell="G8" sqref="G8"/>
    </sheetView>
  </sheetViews>
  <sheetFormatPr defaultColWidth="9.1328125" defaultRowHeight="14.25" x14ac:dyDescent="0.45"/>
  <cols>
    <col min="1" max="16384" width="9.1328125" style="1"/>
  </cols>
  <sheetData>
    <row r="1" spans="1:9" x14ac:dyDescent="0.45">
      <c r="D1" s="7"/>
      <c r="E1" s="7"/>
      <c r="F1" s="7"/>
      <c r="G1" s="7"/>
      <c r="H1" s="7"/>
      <c r="I1" s="7"/>
    </row>
    <row r="2" spans="1:9" x14ac:dyDescent="0.45">
      <c r="B2" s="1">
        <f>SUM(B4:B700)</f>
        <v>101</v>
      </c>
      <c r="D2" s="7"/>
      <c r="E2" s="7"/>
      <c r="F2" s="7"/>
      <c r="G2" s="7"/>
      <c r="H2" s="7"/>
      <c r="I2" s="7"/>
    </row>
    <row r="3" spans="1:9" x14ac:dyDescent="0.45">
      <c r="A3" s="4" t="s">
        <v>0</v>
      </c>
      <c r="B3" s="4" t="s">
        <v>1</v>
      </c>
      <c r="D3" s="7"/>
      <c r="E3" s="7"/>
      <c r="F3" s="7"/>
      <c r="G3" s="7"/>
      <c r="H3" s="7"/>
      <c r="I3" s="7"/>
    </row>
    <row r="4" spans="1:9" x14ac:dyDescent="0.45">
      <c r="A4" s="2">
        <v>41275</v>
      </c>
      <c r="B4" s="1">
        <v>45</v>
      </c>
      <c r="D4" s="7"/>
      <c r="E4" s="7"/>
      <c r="F4" s="7"/>
      <c r="G4" s="7"/>
      <c r="H4" s="7"/>
      <c r="I4" s="7"/>
    </row>
    <row r="5" spans="1:9" x14ac:dyDescent="0.45">
      <c r="A5" s="2">
        <v>41276</v>
      </c>
      <c r="B5" s="1">
        <v>56</v>
      </c>
      <c r="D5" s="7"/>
      <c r="E5" s="7"/>
      <c r="F5" s="7"/>
      <c r="G5" s="7"/>
      <c r="H5" s="7"/>
      <c r="I5" s="7"/>
    </row>
    <row r="6" spans="1:9" x14ac:dyDescent="0.45">
      <c r="D6" s="7"/>
      <c r="E6" s="7"/>
      <c r="F6" s="7"/>
      <c r="G6" s="7"/>
      <c r="H6" s="7"/>
      <c r="I6" s="7"/>
    </row>
    <row r="7" spans="1:9" x14ac:dyDescent="0.45">
      <c r="D7" s="7"/>
      <c r="E7" s="7"/>
      <c r="F7" s="7"/>
      <c r="G7" s="7"/>
      <c r="H7" s="7"/>
      <c r="I7" s="7"/>
    </row>
    <row r="8" spans="1:9" x14ac:dyDescent="0.45">
      <c r="D8" s="7"/>
      <c r="E8" s="7"/>
      <c r="F8" s="7"/>
      <c r="G8" s="7"/>
      <c r="H8" s="7"/>
      <c r="I8" s="7"/>
    </row>
    <row r="9" spans="1:9" x14ac:dyDescent="0.45">
      <c r="D9" s="7"/>
      <c r="E9" s="7"/>
      <c r="F9" s="7"/>
      <c r="G9" s="7"/>
      <c r="H9" s="7"/>
      <c r="I9" s="7"/>
    </row>
    <row r="10" spans="1:9" x14ac:dyDescent="0.45">
      <c r="D10" s="7"/>
      <c r="E10" s="7"/>
      <c r="F10" s="7"/>
      <c r="G10" s="7"/>
      <c r="H10" s="7"/>
      <c r="I10" s="7"/>
    </row>
    <row r="11" spans="1:9" x14ac:dyDescent="0.45">
      <c r="D11" s="7"/>
      <c r="E11" s="7"/>
      <c r="F11" s="7"/>
      <c r="G11" s="7"/>
      <c r="H11" s="7"/>
      <c r="I11" s="7"/>
    </row>
    <row r="12" spans="1:9" x14ac:dyDescent="0.45">
      <c r="D12" s="7"/>
      <c r="E12" s="7"/>
      <c r="F12" s="7"/>
      <c r="G12" s="7"/>
      <c r="H12" s="7"/>
      <c r="I12" s="7"/>
    </row>
    <row r="13" spans="1:9" x14ac:dyDescent="0.45">
      <c r="D13" s="7"/>
      <c r="E13" s="7"/>
      <c r="F13" s="7"/>
      <c r="G13" s="7"/>
      <c r="H13" s="7"/>
      <c r="I13" s="7"/>
    </row>
    <row r="14" spans="1:9" x14ac:dyDescent="0.45">
      <c r="D14" s="7"/>
      <c r="E14" s="7"/>
      <c r="F14" s="7"/>
      <c r="G14" s="7"/>
      <c r="H14" s="7"/>
      <c r="I14" s="7"/>
    </row>
    <row r="15" spans="1:9" x14ac:dyDescent="0.45">
      <c r="D15" s="7"/>
      <c r="E15" s="7"/>
      <c r="F15" s="7"/>
      <c r="G15" s="7"/>
      <c r="H15" s="7"/>
      <c r="I15" s="7"/>
    </row>
    <row r="16" spans="1:9" x14ac:dyDescent="0.45">
      <c r="D16" s="7"/>
      <c r="E16" s="7"/>
      <c r="F16" s="7"/>
      <c r="G16" s="7"/>
      <c r="H16" s="7"/>
      <c r="I16" s="7"/>
    </row>
    <row r="17" spans="4:9" x14ac:dyDescent="0.45">
      <c r="D17" s="7"/>
      <c r="E17" s="7"/>
      <c r="F17" s="7"/>
      <c r="G17" s="7"/>
      <c r="H17" s="7"/>
      <c r="I17" s="7"/>
    </row>
    <row r="18" spans="4:9" x14ac:dyDescent="0.45">
      <c r="D18" s="7"/>
      <c r="E18" s="7"/>
      <c r="F18" s="7"/>
      <c r="G18" s="7"/>
      <c r="H18" s="7"/>
      <c r="I18" s="7"/>
    </row>
    <row r="19" spans="4:9" x14ac:dyDescent="0.45">
      <c r="D19" s="7"/>
      <c r="E19" s="7"/>
      <c r="F19" s="7"/>
      <c r="G19" s="7"/>
      <c r="H19" s="7"/>
      <c r="I19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11"/>
  <sheetViews>
    <sheetView workbookViewId="0">
      <selection activeCell="F4" sqref="F4"/>
    </sheetView>
  </sheetViews>
  <sheetFormatPr defaultColWidth="9.1328125" defaultRowHeight="14.25" x14ac:dyDescent="0.45"/>
  <cols>
    <col min="1" max="1" width="8.265625" style="1" bestFit="1" customWidth="1"/>
    <col min="2" max="2" width="11.1328125" style="6" bestFit="1" customWidth="1"/>
    <col min="3" max="3" width="12.59765625" style="1" bestFit="1" customWidth="1"/>
    <col min="4" max="4" width="16.265625" style="1" bestFit="1" customWidth="1"/>
    <col min="5" max="5" width="20" style="1" bestFit="1" customWidth="1"/>
    <col min="6" max="6" width="17.73046875" style="1" bestFit="1" customWidth="1"/>
    <col min="7" max="7" width="20.59765625" style="1" bestFit="1" customWidth="1"/>
    <col min="8" max="16384" width="9.1328125" style="1"/>
  </cols>
  <sheetData>
    <row r="2" spans="1:7" x14ac:dyDescent="0.45">
      <c r="A2" s="1" t="s">
        <v>10</v>
      </c>
      <c r="B2" s="6" t="s">
        <v>2</v>
      </c>
      <c r="C2" s="1" t="s">
        <v>3</v>
      </c>
      <c r="D2" s="1" t="s">
        <v>4</v>
      </c>
      <c r="E2" s="1" t="s">
        <v>5</v>
      </c>
      <c r="F2" s="1" t="s">
        <v>8</v>
      </c>
      <c r="G2" s="1" t="s">
        <v>9</v>
      </c>
    </row>
    <row r="3" spans="1:7" x14ac:dyDescent="0.45">
      <c r="A3" s="7" t="s">
        <v>6</v>
      </c>
      <c r="B3" s="8">
        <v>3000</v>
      </c>
      <c r="C3" s="1">
        <f>GetTaxRate(B3)</f>
        <v>0</v>
      </c>
      <c r="D3" s="1">
        <f>GetTaxRateElse(B3)</f>
        <v>0.1</v>
      </c>
      <c r="E3" s="1">
        <f>GetTaxRateElseAnd(B3)</f>
        <v>0.1</v>
      </c>
      <c r="F3" s="1">
        <f>GetTaxRateElseIf(B3)</f>
        <v>0</v>
      </c>
      <c r="G3" s="1">
        <f>GetTaxRateNestedIf(B3,A3)</f>
        <v>0</v>
      </c>
    </row>
    <row r="4" spans="1:7" x14ac:dyDescent="0.45">
      <c r="A4" s="2" t="s">
        <v>7</v>
      </c>
      <c r="B4" s="6">
        <v>35000</v>
      </c>
      <c r="C4" s="1">
        <f t="shared" ref="C4:C7" si="0">GetTaxRate(B4)</f>
        <v>0.25</v>
      </c>
      <c r="D4" s="1">
        <f t="shared" ref="D4:D7" si="1">GetTaxRateElse(B4)</f>
        <v>0.25</v>
      </c>
      <c r="E4" s="1">
        <f t="shared" ref="E4:E7" si="2">GetTaxRateElseAnd(B4)</f>
        <v>0.1</v>
      </c>
      <c r="F4" s="1">
        <f t="shared" ref="F4:F7" si="3">GetTaxRateElseIf(B4)</f>
        <v>0.25</v>
      </c>
      <c r="G4" s="1">
        <f t="shared" ref="G4:G7" si="4">GetTaxRateNestedIf(B4,A4)</f>
        <v>0.25</v>
      </c>
    </row>
    <row r="5" spans="1:7" x14ac:dyDescent="0.45">
      <c r="A5" s="2" t="s">
        <v>6</v>
      </c>
      <c r="B5" s="6">
        <v>7000</v>
      </c>
      <c r="C5" s="1">
        <f t="shared" si="0"/>
        <v>0.25</v>
      </c>
      <c r="D5" s="1">
        <f t="shared" si="1"/>
        <v>0.25</v>
      </c>
      <c r="E5" s="1">
        <f t="shared" si="2"/>
        <v>0.1</v>
      </c>
      <c r="F5" s="1">
        <f t="shared" si="3"/>
        <v>0.25</v>
      </c>
      <c r="G5" s="1">
        <f t="shared" si="4"/>
        <v>0.15</v>
      </c>
    </row>
    <row r="6" spans="1:7" x14ac:dyDescent="0.45">
      <c r="A6" s="1" t="s">
        <v>7</v>
      </c>
      <c r="B6" s="6">
        <v>100000</v>
      </c>
      <c r="C6" s="1">
        <f t="shared" si="0"/>
        <v>0.25</v>
      </c>
      <c r="D6" s="1">
        <f t="shared" si="1"/>
        <v>0.25</v>
      </c>
      <c r="E6" s="1">
        <f t="shared" si="2"/>
        <v>0.25</v>
      </c>
      <c r="F6" s="1">
        <f t="shared" si="3"/>
        <v>0.45</v>
      </c>
      <c r="G6" s="1">
        <f t="shared" si="4"/>
        <v>0.45</v>
      </c>
    </row>
    <row r="7" spans="1:7" x14ac:dyDescent="0.45">
      <c r="A7" s="1" t="s">
        <v>6</v>
      </c>
      <c r="B7" s="6">
        <v>50000</v>
      </c>
      <c r="C7" s="1">
        <f t="shared" si="0"/>
        <v>0.25</v>
      </c>
      <c r="D7" s="1">
        <f t="shared" si="1"/>
        <v>0.25</v>
      </c>
      <c r="E7" s="1">
        <f t="shared" si="2"/>
        <v>0.25</v>
      </c>
      <c r="F7" s="1">
        <f t="shared" si="3"/>
        <v>0.35</v>
      </c>
      <c r="G7" s="1">
        <f t="shared" si="4"/>
        <v>0.28000000000000003</v>
      </c>
    </row>
    <row r="11" spans="1:7" x14ac:dyDescent="0.45">
      <c r="B11" s="6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"/>
  <sheetViews>
    <sheetView workbookViewId="0"/>
  </sheetViews>
  <sheetFormatPr defaultRowHeight="14.25" x14ac:dyDescent="0.45"/>
  <cols>
    <col min="1" max="1" width="7.86328125" bestFit="1" customWidth="1"/>
    <col min="2" max="2" width="11.1328125" bestFit="1" customWidth="1"/>
    <col min="3" max="3" width="22.59765625" bestFit="1" customWidth="1"/>
    <col min="4" max="4" width="28.3984375" bestFit="1" customWidth="1"/>
    <col min="5" max="5" width="32.86328125" bestFit="1" customWidth="1"/>
    <col min="6" max="6" width="17.73046875" bestFit="1" customWidth="1"/>
    <col min="7" max="7" width="20.59765625" bestFit="1" customWidth="1"/>
  </cols>
  <sheetData>
    <row r="3" spans="1:7" x14ac:dyDescent="0.45">
      <c r="A3" s="1" t="s">
        <v>10</v>
      </c>
      <c r="B3" s="6" t="s">
        <v>2</v>
      </c>
      <c r="C3" s="1" t="s">
        <v>11</v>
      </c>
      <c r="D3" s="1" t="s">
        <v>12</v>
      </c>
      <c r="E3" s="1" t="s">
        <v>13</v>
      </c>
      <c r="F3" s="1"/>
      <c r="G3" s="1"/>
    </row>
    <row r="4" spans="1:7" x14ac:dyDescent="0.45">
      <c r="A4" s="7" t="s">
        <v>6</v>
      </c>
      <c r="B4" s="8">
        <v>3000</v>
      </c>
      <c r="C4">
        <f>GetTaxRatesSelectCase(B4)</f>
        <v>0</v>
      </c>
      <c r="D4">
        <f>GetTaxRatesSelectCaseTo(B4)</f>
        <v>0.1</v>
      </c>
      <c r="E4">
        <f>GetTaxRatesSelectCaseNested(B4,A4)</f>
        <v>0</v>
      </c>
    </row>
    <row r="5" spans="1:7" x14ac:dyDescent="0.45">
      <c r="A5" s="2" t="s">
        <v>7</v>
      </c>
      <c r="B5" s="6">
        <v>35000</v>
      </c>
      <c r="C5">
        <f t="shared" ref="C5:C8" si="0">GetTaxRatesSelectCase(B5)</f>
        <v>0.25</v>
      </c>
      <c r="D5">
        <f t="shared" ref="D5:D8" si="1">GetTaxRatesSelectCaseTo(B5)</f>
        <v>0.25</v>
      </c>
      <c r="E5">
        <f t="shared" ref="E5:E8" si="2">GetTaxRatesSelectCaseNested(B5,A5)</f>
        <v>0.35</v>
      </c>
    </row>
    <row r="6" spans="1:7" x14ac:dyDescent="0.45">
      <c r="A6" s="2" t="s">
        <v>6</v>
      </c>
      <c r="B6" s="6">
        <v>7000</v>
      </c>
      <c r="C6">
        <f t="shared" si="0"/>
        <v>0.25</v>
      </c>
      <c r="D6">
        <f t="shared" si="1"/>
        <v>0.25</v>
      </c>
      <c r="E6">
        <f t="shared" si="2"/>
        <v>0.28000000000000003</v>
      </c>
    </row>
    <row r="7" spans="1:7" x14ac:dyDescent="0.45">
      <c r="A7" s="1" t="s">
        <v>7</v>
      </c>
      <c r="B7" s="6">
        <v>100000</v>
      </c>
      <c r="C7">
        <f t="shared" si="0"/>
        <v>0.25</v>
      </c>
      <c r="D7">
        <f t="shared" si="1"/>
        <v>0.1</v>
      </c>
      <c r="E7">
        <f t="shared" si="2"/>
        <v>0.45</v>
      </c>
    </row>
    <row r="8" spans="1:7" x14ac:dyDescent="0.45">
      <c r="A8" s="1" t="s">
        <v>6</v>
      </c>
      <c r="B8" s="6">
        <v>50000</v>
      </c>
      <c r="C8">
        <f t="shared" si="0"/>
        <v>0.25</v>
      </c>
      <c r="D8">
        <f t="shared" si="1"/>
        <v>0.1</v>
      </c>
      <c r="E8">
        <f t="shared" si="2"/>
        <v>0.15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"/>
  <sheetViews>
    <sheetView tabSelected="1" topLeftCell="A4" workbookViewId="0">
      <selection activeCell="A4" sqref="A4"/>
    </sheetView>
  </sheetViews>
  <sheetFormatPr defaultRowHeight="14.25" x14ac:dyDescent="0.45"/>
  <sheetData>
    <row r="1" spans="1:6" x14ac:dyDescent="0.45">
      <c r="A1">
        <f ca="1">RAND()</f>
        <v>0.70704479185433067</v>
      </c>
      <c r="B1">
        <f t="shared" ref="B1:F1" ca="1" si="0">RAND()</f>
        <v>0.95323425356865588</v>
      </c>
      <c r="C1">
        <f t="shared" ca="1" si="0"/>
        <v>0.75616240724749451</v>
      </c>
      <c r="D1">
        <f t="shared" ca="1" si="0"/>
        <v>8.0934444599435218E-2</v>
      </c>
      <c r="E1">
        <f t="shared" ca="1" si="0"/>
        <v>0.5168292197102472</v>
      </c>
      <c r="F1">
        <f t="shared" ca="1" si="0"/>
        <v>0.28991449683252202</v>
      </c>
    </row>
    <row r="2" spans="1:6" x14ac:dyDescent="0.45">
      <c r="A2">
        <f t="shared" ref="A2:F4" ca="1" si="1">RAND()</f>
        <v>0.37569704857704134</v>
      </c>
      <c r="B2">
        <f t="shared" ca="1" si="1"/>
        <v>0.84359161710575215</v>
      </c>
      <c r="C2">
        <f t="shared" ca="1" si="1"/>
        <v>0.35108051310513078</v>
      </c>
      <c r="D2">
        <f t="shared" ca="1" si="1"/>
        <v>0.3504264630717151</v>
      </c>
      <c r="E2">
        <f t="shared" ca="1" si="1"/>
        <v>0.13159969458444176</v>
      </c>
      <c r="F2">
        <f t="shared" ca="1" si="1"/>
        <v>0.38048600346340633</v>
      </c>
    </row>
    <row r="3" spans="1:6" x14ac:dyDescent="0.45">
      <c r="A3">
        <f t="shared" ca="1" si="1"/>
        <v>0.10222509102753996</v>
      </c>
      <c r="B3">
        <f t="shared" ca="1" si="1"/>
        <v>0.36449983903283401</v>
      </c>
      <c r="C3">
        <f t="shared" ca="1" si="1"/>
        <v>0.7280200944373667</v>
      </c>
      <c r="D3">
        <f t="shared" ca="1" si="1"/>
        <v>1.9994145075852732E-2</v>
      </c>
      <c r="E3">
        <f t="shared" ca="1" si="1"/>
        <v>0.24205698381059326</v>
      </c>
      <c r="F3">
        <f t="shared" ca="1" si="1"/>
        <v>0.54433656448495049</v>
      </c>
    </row>
    <row r="4" spans="1:6" x14ac:dyDescent="0.45">
      <c r="A4">
        <f t="shared" ca="1" si="1"/>
        <v>0.24683907298153718</v>
      </c>
      <c r="B4">
        <f t="shared" ca="1" si="1"/>
        <v>0.54202765291752408</v>
      </c>
      <c r="C4">
        <f t="shared" ca="1" si="1"/>
        <v>0.20037255290188594</v>
      </c>
      <c r="D4">
        <f t="shared" ca="1" si="1"/>
        <v>0.61091462749791581</v>
      </c>
      <c r="E4">
        <f t="shared" ca="1" si="1"/>
        <v>0.1521458621485019</v>
      </c>
      <c r="F4">
        <f t="shared" ca="1" si="1"/>
        <v>0.23114061859684543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20"/>
  <sheetViews>
    <sheetView workbookViewId="0"/>
  </sheetViews>
  <sheetFormatPr defaultRowHeight="14.25" x14ac:dyDescent="0.45"/>
  <sheetData>
    <row r="2" spans="1:1" x14ac:dyDescent="0.45">
      <c r="A2">
        <v>1</v>
      </c>
    </row>
    <row r="4" spans="1:1" x14ac:dyDescent="0.45">
      <c r="A4">
        <v>3</v>
      </c>
    </row>
    <row r="6" spans="1:1" x14ac:dyDescent="0.45">
      <c r="A6">
        <v>5</v>
      </c>
    </row>
    <row r="8" spans="1:1" x14ac:dyDescent="0.45">
      <c r="A8">
        <v>7</v>
      </c>
    </row>
    <row r="10" spans="1:1" x14ac:dyDescent="0.45">
      <c r="A10">
        <v>9</v>
      </c>
    </row>
    <row r="12" spans="1:1" x14ac:dyDescent="0.45">
      <c r="A12">
        <v>11</v>
      </c>
    </row>
    <row r="14" spans="1:1" x14ac:dyDescent="0.45">
      <c r="A14">
        <v>13</v>
      </c>
    </row>
    <row r="16" spans="1:1" x14ac:dyDescent="0.45">
      <c r="A16">
        <v>15</v>
      </c>
    </row>
    <row r="18" spans="1:1" x14ac:dyDescent="0.45">
      <c r="A18">
        <v>17</v>
      </c>
    </row>
    <row r="20" spans="1:1" x14ac:dyDescent="0.45">
      <c r="A20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5"/>
  <sheetViews>
    <sheetView workbookViewId="0">
      <selection activeCell="B3" sqref="B3"/>
    </sheetView>
  </sheetViews>
  <sheetFormatPr defaultColWidth="9.1328125" defaultRowHeight="14.25" x14ac:dyDescent="0.45"/>
  <cols>
    <col min="1" max="16384" width="9.1328125" style="1"/>
  </cols>
  <sheetData>
    <row r="2" spans="1:2" x14ac:dyDescent="0.45">
      <c r="A2" s="3"/>
      <c r="B2" s="3">
        <f>SUM(B4:B700)</f>
        <v>101</v>
      </c>
    </row>
    <row r="3" spans="1:2" x14ac:dyDescent="0.45">
      <c r="A3" s="5" t="s">
        <v>0</v>
      </c>
      <c r="B3" s="4" t="s">
        <v>1</v>
      </c>
    </row>
    <row r="4" spans="1:2" x14ac:dyDescent="0.45">
      <c r="A4" s="2">
        <v>41275</v>
      </c>
      <c r="B4" s="1">
        <v>45</v>
      </c>
    </row>
    <row r="5" spans="1:2" x14ac:dyDescent="0.45">
      <c r="A5" s="2">
        <v>41276</v>
      </c>
      <c r="B5" s="1">
        <v>56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7"/>
  <sheetViews>
    <sheetView workbookViewId="0">
      <selection activeCell="C7" sqref="C7"/>
    </sheetView>
  </sheetViews>
  <sheetFormatPr defaultRowHeight="14.25" x14ac:dyDescent="0.45"/>
  <sheetData>
    <row r="2" spans="1:3" x14ac:dyDescent="0.45">
      <c r="A2" s="10">
        <v>200</v>
      </c>
      <c r="B2" s="10"/>
      <c r="C2" s="10">
        <v>40</v>
      </c>
    </row>
    <row r="3" spans="1:3" x14ac:dyDescent="0.45">
      <c r="A3" s="10"/>
      <c r="B3" s="10"/>
      <c r="C3" s="10"/>
    </row>
    <row r="4" spans="1:3" x14ac:dyDescent="0.45">
      <c r="A4" s="10">
        <v>5</v>
      </c>
      <c r="B4" s="9">
        <v>700</v>
      </c>
      <c r="C4" s="10"/>
    </row>
    <row r="5" spans="1:3" x14ac:dyDescent="0.45">
      <c r="A5" s="10"/>
      <c r="B5" s="10"/>
      <c r="C5" s="10"/>
    </row>
    <row r="6" spans="1:3" x14ac:dyDescent="0.45">
      <c r="A6" s="10">
        <v>7</v>
      </c>
      <c r="B6" s="10"/>
      <c r="C6" s="10">
        <v>100</v>
      </c>
    </row>
    <row r="7" spans="1:3" x14ac:dyDescent="0.45">
      <c r="A7" s="10"/>
      <c r="B7" s="9">
        <v>300</v>
      </c>
      <c r="C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0"/>
  <sheetViews>
    <sheetView workbookViewId="0">
      <selection activeCell="K11" sqref="K11"/>
    </sheetView>
  </sheetViews>
  <sheetFormatPr defaultRowHeight="14.25" x14ac:dyDescent="0.45"/>
  <cols>
    <col min="1" max="1" width="10.86328125" bestFit="1" customWidth="1"/>
    <col min="3" max="3" width="9.3984375" bestFit="1" customWidth="1"/>
    <col min="4" max="4" width="7.59765625" bestFit="1" customWidth="1"/>
    <col min="5" max="5" width="13.86328125" bestFit="1" customWidth="1"/>
    <col min="7" max="7" width="12.73046875" bestFit="1" customWidth="1"/>
  </cols>
  <sheetData>
    <row r="1" spans="1:10" x14ac:dyDescent="0.45">
      <c r="A1" s="11" t="s">
        <v>14</v>
      </c>
      <c r="B1">
        <f>convertToUSD("CAD",100)</f>
        <v>105</v>
      </c>
      <c r="C1" s="12" t="s">
        <v>27</v>
      </c>
      <c r="D1" s="12" t="s">
        <v>28</v>
      </c>
      <c r="E1" s="12" t="s">
        <v>29</v>
      </c>
      <c r="G1" s="13" t="s">
        <v>38</v>
      </c>
      <c r="H1" s="13" t="s">
        <v>39</v>
      </c>
    </row>
    <row r="2" spans="1:10" x14ac:dyDescent="0.45">
      <c r="A2" t="s">
        <v>15</v>
      </c>
      <c r="C2" s="9" t="s">
        <v>30</v>
      </c>
      <c r="D2" s="9" t="s">
        <v>34</v>
      </c>
      <c r="E2" s="9">
        <v>1.05</v>
      </c>
      <c r="G2" s="10" t="s">
        <v>40</v>
      </c>
      <c r="H2" s="10" t="s">
        <v>41</v>
      </c>
    </row>
    <row r="3" spans="1:10" x14ac:dyDescent="0.45">
      <c r="A3" t="s">
        <v>16</v>
      </c>
      <c r="C3" s="9" t="s">
        <v>31</v>
      </c>
      <c r="D3" s="9" t="s">
        <v>35</v>
      </c>
      <c r="E3" s="9">
        <v>1.29</v>
      </c>
      <c r="G3" s="10" t="s">
        <v>42</v>
      </c>
      <c r="H3" s="10" t="s">
        <v>43</v>
      </c>
    </row>
    <row r="4" spans="1:10" x14ac:dyDescent="0.45">
      <c r="A4" t="s">
        <v>17</v>
      </c>
      <c r="C4" s="9" t="s">
        <v>32</v>
      </c>
      <c r="D4" s="9" t="s">
        <v>36</v>
      </c>
      <c r="E4" s="9">
        <v>1.2E-2</v>
      </c>
      <c r="G4" s="10" t="s">
        <v>50</v>
      </c>
      <c r="H4" s="10" t="s">
        <v>44</v>
      </c>
    </row>
    <row r="5" spans="1:10" x14ac:dyDescent="0.45">
      <c r="A5" t="s">
        <v>18</v>
      </c>
      <c r="C5" s="9" t="s">
        <v>33</v>
      </c>
      <c r="D5" s="9" t="s">
        <v>37</v>
      </c>
      <c r="E5" s="9">
        <v>7.0000000000000007E-2</v>
      </c>
      <c r="G5" s="10" t="s">
        <v>51</v>
      </c>
      <c r="H5" s="10" t="s">
        <v>45</v>
      </c>
      <c r="J5">
        <v>4</v>
      </c>
    </row>
    <row r="6" spans="1:10" x14ac:dyDescent="0.45">
      <c r="A6" t="s">
        <v>19</v>
      </c>
      <c r="G6" s="10" t="s">
        <v>52</v>
      </c>
      <c r="H6" s="10" t="s">
        <v>46</v>
      </c>
      <c r="J6">
        <v>6</v>
      </c>
    </row>
    <row r="7" spans="1:10" x14ac:dyDescent="0.45">
      <c r="A7" t="s">
        <v>20</v>
      </c>
      <c r="G7" s="10" t="s">
        <v>53</v>
      </c>
      <c r="H7" s="10" t="s">
        <v>47</v>
      </c>
      <c r="J7">
        <v>2</v>
      </c>
    </row>
    <row r="8" spans="1:10" x14ac:dyDescent="0.45">
      <c r="A8" t="s">
        <v>21</v>
      </c>
      <c r="C8" t="s">
        <v>30</v>
      </c>
      <c r="D8" t="s">
        <v>34</v>
      </c>
      <c r="E8">
        <v>1.05</v>
      </c>
      <c r="G8" s="10" t="s">
        <v>54</v>
      </c>
      <c r="H8" s="10" t="s">
        <v>45</v>
      </c>
    </row>
    <row r="9" spans="1:10" x14ac:dyDescent="0.45">
      <c r="A9" t="s">
        <v>22</v>
      </c>
      <c r="C9" t="s">
        <v>31</v>
      </c>
      <c r="D9" t="s">
        <v>35</v>
      </c>
      <c r="E9">
        <v>1.29</v>
      </c>
      <c r="G9" s="10" t="s">
        <v>55</v>
      </c>
      <c r="H9" s="10" t="s">
        <v>43</v>
      </c>
    </row>
    <row r="10" spans="1:10" x14ac:dyDescent="0.45">
      <c r="A10" t="s">
        <v>23</v>
      </c>
      <c r="C10" t="s">
        <v>32</v>
      </c>
      <c r="D10" t="s">
        <v>36</v>
      </c>
      <c r="E10">
        <v>1.2E-2</v>
      </c>
      <c r="G10" s="10" t="s">
        <v>56</v>
      </c>
      <c r="H10" s="10" t="s">
        <v>45</v>
      </c>
    </row>
    <row r="11" spans="1:10" x14ac:dyDescent="0.45">
      <c r="A11" t="s">
        <v>24</v>
      </c>
      <c r="C11" t="s">
        <v>33</v>
      </c>
      <c r="D11" t="s">
        <v>37</v>
      </c>
      <c r="E11">
        <v>7.0000000000000007E-2</v>
      </c>
      <c r="G11" s="10" t="s">
        <v>57</v>
      </c>
      <c r="H11" s="10" t="s">
        <v>43</v>
      </c>
    </row>
    <row r="12" spans="1:10" x14ac:dyDescent="0.45">
      <c r="A12" t="s">
        <v>25</v>
      </c>
      <c r="G12" s="10" t="s">
        <v>58</v>
      </c>
      <c r="H12" s="10" t="s">
        <v>48</v>
      </c>
    </row>
    <row r="13" spans="1:10" x14ac:dyDescent="0.45">
      <c r="A13" t="s">
        <v>26</v>
      </c>
      <c r="G13" s="10" t="s">
        <v>59</v>
      </c>
      <c r="H13" s="10" t="s">
        <v>49</v>
      </c>
    </row>
    <row r="14" spans="1:10" x14ac:dyDescent="0.45">
      <c r="G14" s="10" t="s">
        <v>60</v>
      </c>
      <c r="H14" s="10" t="s">
        <v>45</v>
      </c>
    </row>
    <row r="15" spans="1:10" x14ac:dyDescent="0.45">
      <c r="G15" s="10" t="s">
        <v>61</v>
      </c>
      <c r="H15" s="10" t="s">
        <v>43</v>
      </c>
    </row>
    <row r="16" spans="1:10" x14ac:dyDescent="0.45">
      <c r="G16" s="10" t="s">
        <v>62</v>
      </c>
      <c r="H16" s="10" t="s">
        <v>63</v>
      </c>
    </row>
    <row r="17" spans="7:8" x14ac:dyDescent="0.45">
      <c r="G17" s="10"/>
      <c r="H17" s="10"/>
    </row>
    <row r="18" spans="7:8" x14ac:dyDescent="0.45">
      <c r="G18" s="10"/>
      <c r="H18" s="10"/>
    </row>
    <row r="19" spans="7:8" x14ac:dyDescent="0.45">
      <c r="G19" s="10"/>
      <c r="H19" s="10"/>
    </row>
    <row r="20" spans="7:8" x14ac:dyDescent="0.45">
      <c r="G20" s="10"/>
      <c r="H20" s="1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1"/>
  <sheetViews>
    <sheetView workbookViewId="0">
      <selection activeCell="K1" sqref="K1"/>
    </sheetView>
  </sheetViews>
  <sheetFormatPr defaultRowHeight="14.25" x14ac:dyDescent="0.45"/>
  <cols>
    <col min="1" max="1" width="8.73046875" bestFit="1" customWidth="1"/>
    <col min="2" max="2" width="7.3984375" bestFit="1" customWidth="1"/>
    <col min="3" max="3" width="10.1328125" bestFit="1" customWidth="1"/>
    <col min="4" max="4" width="5.3984375" bestFit="1" customWidth="1"/>
    <col min="11" max="11" width="13.86328125" bestFit="1" customWidth="1"/>
    <col min="12" max="12" width="17.86328125" bestFit="1" customWidth="1"/>
    <col min="13" max="13" width="12" bestFit="1" customWidth="1"/>
    <col min="14" max="14" width="18.73046875" bestFit="1" customWidth="1"/>
  </cols>
  <sheetData>
    <row r="1" spans="1:14" s="15" customFormat="1" x14ac:dyDescent="0.45">
      <c r="A1" s="15" t="s">
        <v>0</v>
      </c>
      <c r="B1" s="15" t="s">
        <v>64</v>
      </c>
      <c r="C1" s="15" t="s">
        <v>65</v>
      </c>
      <c r="D1" s="15" t="s">
        <v>66</v>
      </c>
      <c r="K1" s="16" t="s">
        <v>64</v>
      </c>
      <c r="L1" t="s">
        <v>92</v>
      </c>
      <c r="M1"/>
      <c r="N1"/>
    </row>
    <row r="2" spans="1:14" x14ac:dyDescent="0.45">
      <c r="A2" s="14">
        <v>41275</v>
      </c>
      <c r="B2" t="s">
        <v>67</v>
      </c>
      <c r="C2" t="s">
        <v>74</v>
      </c>
      <c r="D2">
        <v>20</v>
      </c>
    </row>
    <row r="3" spans="1:14" x14ac:dyDescent="0.45">
      <c r="A3" s="14">
        <v>41275</v>
      </c>
      <c r="B3" t="s">
        <v>67</v>
      </c>
      <c r="C3" t="s">
        <v>75</v>
      </c>
      <c r="D3">
        <v>15</v>
      </c>
      <c r="M3" s="16" t="s">
        <v>90</v>
      </c>
    </row>
    <row r="4" spans="1:14" x14ac:dyDescent="0.45">
      <c r="A4" s="14">
        <v>41275</v>
      </c>
      <c r="B4" t="s">
        <v>68</v>
      </c>
      <c r="C4" t="s">
        <v>76</v>
      </c>
      <c r="D4">
        <v>5</v>
      </c>
      <c r="K4" s="16" t="s">
        <v>0</v>
      </c>
      <c r="L4" s="16" t="s">
        <v>65</v>
      </c>
      <c r="M4" t="s">
        <v>87</v>
      </c>
      <c r="N4" t="s">
        <v>91</v>
      </c>
    </row>
    <row r="5" spans="1:14" x14ac:dyDescent="0.45">
      <c r="A5" s="14">
        <v>41275</v>
      </c>
      <c r="B5" t="s">
        <v>69</v>
      </c>
      <c r="C5" t="s">
        <v>77</v>
      </c>
      <c r="D5">
        <v>1</v>
      </c>
      <c r="K5" s="14">
        <v>41275</v>
      </c>
      <c r="L5" t="s">
        <v>74</v>
      </c>
      <c r="M5" s="17">
        <v>20</v>
      </c>
      <c r="N5" s="17">
        <v>2</v>
      </c>
    </row>
    <row r="6" spans="1:14" x14ac:dyDescent="0.45">
      <c r="A6" s="14">
        <v>41276</v>
      </c>
      <c r="B6" t="s">
        <v>70</v>
      </c>
      <c r="C6" t="s">
        <v>78</v>
      </c>
      <c r="D6">
        <v>11</v>
      </c>
      <c r="L6" t="s">
        <v>75</v>
      </c>
      <c r="M6" s="17">
        <v>15</v>
      </c>
      <c r="N6" s="17">
        <v>1.5</v>
      </c>
    </row>
    <row r="7" spans="1:14" x14ac:dyDescent="0.45">
      <c r="A7" s="14">
        <v>41277</v>
      </c>
      <c r="B7" t="s">
        <v>71</v>
      </c>
      <c r="C7" t="s">
        <v>79</v>
      </c>
      <c r="D7">
        <v>13</v>
      </c>
      <c r="K7" s="14" t="s">
        <v>88</v>
      </c>
      <c r="M7" s="17">
        <v>35</v>
      </c>
      <c r="N7" s="17">
        <v>3.5</v>
      </c>
    </row>
    <row r="8" spans="1:14" x14ac:dyDescent="0.45">
      <c r="A8" s="14">
        <v>41278</v>
      </c>
      <c r="B8" t="s">
        <v>72</v>
      </c>
      <c r="C8" t="s">
        <v>80</v>
      </c>
      <c r="D8">
        <v>16</v>
      </c>
      <c r="K8" s="14">
        <v>41278</v>
      </c>
      <c r="L8" t="s">
        <v>80</v>
      </c>
      <c r="M8" s="17">
        <v>16</v>
      </c>
      <c r="N8" s="17">
        <v>1.6</v>
      </c>
    </row>
    <row r="9" spans="1:14" x14ac:dyDescent="0.45">
      <c r="A9" s="14">
        <v>41279</v>
      </c>
      <c r="B9" t="s">
        <v>73</v>
      </c>
      <c r="C9" t="s">
        <v>81</v>
      </c>
      <c r="D9">
        <v>14</v>
      </c>
      <c r="K9" s="14" t="s">
        <v>89</v>
      </c>
      <c r="M9" s="17">
        <v>16</v>
      </c>
      <c r="N9" s="17">
        <v>1.6</v>
      </c>
    </row>
    <row r="10" spans="1:14" x14ac:dyDescent="0.45">
      <c r="A10" s="14">
        <v>41279</v>
      </c>
      <c r="B10" t="s">
        <v>84</v>
      </c>
      <c r="C10" t="s">
        <v>85</v>
      </c>
      <c r="D10">
        <v>43</v>
      </c>
      <c r="K10" s="14" t="s">
        <v>86</v>
      </c>
      <c r="M10" s="17">
        <v>51</v>
      </c>
      <c r="N10" s="17">
        <v>5.1000000000000005</v>
      </c>
    </row>
    <row r="11" spans="1:14" x14ac:dyDescent="0.45">
      <c r="A11" s="14">
        <v>41279</v>
      </c>
      <c r="B11" t="s">
        <v>82</v>
      </c>
      <c r="C11" t="s">
        <v>83</v>
      </c>
      <c r="D11">
        <v>50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5"/>
  <sheetViews>
    <sheetView workbookViewId="0">
      <selection activeCell="D9" sqref="D9"/>
    </sheetView>
  </sheetViews>
  <sheetFormatPr defaultRowHeight="14.25" x14ac:dyDescent="0.45"/>
  <sheetData>
    <row r="1" spans="1:7" x14ac:dyDescent="0.45">
      <c r="A1" t="s">
        <v>64</v>
      </c>
    </row>
    <row r="2" spans="1:7" x14ac:dyDescent="0.45">
      <c r="A2" t="s">
        <v>67</v>
      </c>
    </row>
    <row r="3" spans="1:7" x14ac:dyDescent="0.45">
      <c r="A3" t="s">
        <v>93</v>
      </c>
    </row>
    <row r="4" spans="1:7" x14ac:dyDescent="0.45">
      <c r="A4" t="s">
        <v>94</v>
      </c>
    </row>
    <row r="5" spans="1:7" x14ac:dyDescent="0.45">
      <c r="A5" t="s">
        <v>95</v>
      </c>
      <c r="B5" t="s">
        <v>96</v>
      </c>
    </row>
    <row r="6" spans="1:7" x14ac:dyDescent="0.45">
      <c r="A6" t="s">
        <v>97</v>
      </c>
      <c r="B6" t="s">
        <v>98</v>
      </c>
    </row>
    <row r="7" spans="1:7" x14ac:dyDescent="0.45">
      <c r="A7" t="s">
        <v>97</v>
      </c>
      <c r="B7" t="s">
        <v>99</v>
      </c>
    </row>
    <row r="8" spans="1:7" x14ac:dyDescent="0.45">
      <c r="A8" t="s">
        <v>100</v>
      </c>
      <c r="B8" t="s">
        <v>101</v>
      </c>
    </row>
    <row r="9" spans="1:7" x14ac:dyDescent="0.45">
      <c r="A9" t="s">
        <v>71</v>
      </c>
      <c r="B9" t="s">
        <v>101</v>
      </c>
      <c r="C9">
        <v>25</v>
      </c>
    </row>
    <row r="10" spans="1:7" x14ac:dyDescent="0.45">
      <c r="A10" t="s">
        <v>103</v>
      </c>
      <c r="B10" t="s">
        <v>96</v>
      </c>
      <c r="C10">
        <v>25</v>
      </c>
      <c r="D10" t="s">
        <v>102</v>
      </c>
    </row>
    <row r="11" spans="1:7" x14ac:dyDescent="0.45">
      <c r="A11" t="s">
        <v>104</v>
      </c>
      <c r="B11" t="s">
        <v>96</v>
      </c>
      <c r="C11">
        <v>25</v>
      </c>
      <c r="D11" t="s">
        <v>102</v>
      </c>
    </row>
    <row r="12" spans="1:7" x14ac:dyDescent="0.45">
      <c r="A12" t="s">
        <v>106</v>
      </c>
      <c r="B12" t="s">
        <v>107</v>
      </c>
      <c r="C12">
        <v>25</v>
      </c>
      <c r="D12" t="s">
        <v>105</v>
      </c>
      <c r="E12" t="b">
        <v>0</v>
      </c>
    </row>
    <row r="13" spans="1:7" x14ac:dyDescent="0.45">
      <c r="A13" t="s">
        <v>106</v>
      </c>
      <c r="B13" t="s">
        <v>107</v>
      </c>
      <c r="C13">
        <v>25</v>
      </c>
      <c r="D13" t="s">
        <v>105</v>
      </c>
      <c r="E13" t="b">
        <v>1</v>
      </c>
    </row>
    <row r="14" spans="1:7" x14ac:dyDescent="0.45">
      <c r="A14" t="s">
        <v>108</v>
      </c>
      <c r="B14" t="s">
        <v>109</v>
      </c>
      <c r="C14">
        <v>25</v>
      </c>
      <c r="D14" t="s">
        <v>105</v>
      </c>
      <c r="E14" t="b">
        <v>0</v>
      </c>
      <c r="F14">
        <v>120</v>
      </c>
    </row>
    <row r="15" spans="1:7" x14ac:dyDescent="0.45">
      <c r="A15" t="s">
        <v>110</v>
      </c>
      <c r="B15" t="s">
        <v>111</v>
      </c>
      <c r="C15">
        <v>25</v>
      </c>
      <c r="D15" t="s">
        <v>105</v>
      </c>
      <c r="E15" t="b">
        <v>0</v>
      </c>
      <c r="F15">
        <v>120</v>
      </c>
      <c r="G15" t="b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tn_EnterData">
          <controlPr defaultSize="0" autoLine="0" r:id="rId4">
            <anchor moveWithCells="1">
              <from>
                <xdr:col>6</xdr:col>
                <xdr:colOff>276225</xdr:colOff>
                <xdr:row>2</xdr:row>
                <xdr:rowOff>161925</xdr:rowOff>
              </from>
              <to>
                <xdr:col>10</xdr:col>
                <xdr:colOff>19050</xdr:colOff>
                <xdr:row>6</xdr:row>
                <xdr:rowOff>161925</xdr:rowOff>
              </to>
            </anchor>
          </controlPr>
        </control>
      </mc:Choice>
      <mc:Fallback>
        <control shapeId="10241" r:id="rId3" name="btn_EnterDat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>
      <selection activeCell="C10" sqref="C10"/>
    </sheetView>
  </sheetViews>
  <sheetFormatPr defaultRowHeight="14.25" x14ac:dyDescent="0.45"/>
  <sheetData>
    <row r="1" spans="1:2" x14ac:dyDescent="0.45">
      <c r="A1" t="s">
        <v>115</v>
      </c>
      <c r="B1" t="s">
        <v>116</v>
      </c>
    </row>
    <row r="2" spans="1:2" x14ac:dyDescent="0.45">
      <c r="A2">
        <v>1</v>
      </c>
      <c r="B2" t="s">
        <v>112</v>
      </c>
    </row>
    <row r="3" spans="1:2" x14ac:dyDescent="0.45">
      <c r="A3">
        <v>2</v>
      </c>
      <c r="B3" t="s">
        <v>113</v>
      </c>
    </row>
    <row r="4" spans="1:2" x14ac:dyDescent="0.45">
      <c r="A4">
        <v>3</v>
      </c>
      <c r="B4" t="s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S1</vt:lpstr>
      <vt:lpstr>ElseIf</vt:lpstr>
      <vt:lpstr>SelectCase</vt:lpstr>
      <vt:lpstr>loops</vt:lpstr>
      <vt:lpstr>ForNextloops</vt:lpstr>
      <vt:lpstr>S5</vt:lpstr>
      <vt:lpstr>ForEachLoop</vt:lpstr>
      <vt:lpstr>Array</vt:lpstr>
      <vt:lpstr>Pivot</vt:lpstr>
      <vt:lpstr>UserForm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archit</dc:creator>
  <cp:lastModifiedBy>Archit</cp:lastModifiedBy>
  <dcterms:created xsi:type="dcterms:W3CDTF">2018-04-25T01:55:44Z</dcterms:created>
  <dcterms:modified xsi:type="dcterms:W3CDTF">2018-07-05T00:51:51Z</dcterms:modified>
</cp:coreProperties>
</file>